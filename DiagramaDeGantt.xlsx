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luisc\Datos\"/>
    </mc:Choice>
  </mc:AlternateContent>
  <xr:revisionPtr revIDLastSave="0" documentId="8_{6930D303-2DD2-4AA1-94FF-D6F52BB508A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_1" sheetId="3" r:id="rId1"/>
  </sheets>
  <definedNames>
    <definedName name="_xlnm.Print_Area" localSheetId="0">Sheet_1!$A$1:$AE$23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3" l="1"/>
  <c r="D7" i="3"/>
  <c r="D8" i="3"/>
  <c r="D9" i="3"/>
  <c r="D10" i="3"/>
  <c r="D11" i="3"/>
  <c r="D12" i="3"/>
  <c r="D13" i="3"/>
  <c r="D14" i="3"/>
  <c r="D15" i="3"/>
  <c r="D16" i="3"/>
  <c r="D5" i="3"/>
</calcChain>
</file>

<file path=xl/sharedStrings.xml><?xml version="1.0" encoding="utf-8"?>
<sst xmlns="http://schemas.openxmlformats.org/spreadsheetml/2006/main" count="52" uniqueCount="52">
  <si>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</si>
  <si>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</si>
  <si>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</si>
  <si>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</si>
  <si>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</si>
  <si>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</si>
  <si>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</si>
  <si>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</si>
  <si>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</si>
  <si>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</si>
  <si>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</si>
  <si>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</si>
  <si>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</si>
  <si>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</si>
  <si>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</si>
  <si>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</si>
  <si>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Actividad</t>
  </si>
  <si>
    <t>Valerie Martínez y Luis Cantillo  |  16 semanas  |  Semana actual: S7 (7–13 sep 2026)</t>
  </si>
  <si>
    <t>Actividad inicial (artículos)</t>
  </si>
  <si>
    <t>Idea inicial - Propuesta</t>
  </si>
  <si>
    <t>Línea de tiempo</t>
  </si>
  <si>
    <t>Primera entrega</t>
  </si>
  <si>
    <t>Definición de la variable objetivo (insolvencia)</t>
  </si>
  <si>
    <t>Selección de variables (correlación)</t>
  </si>
  <si>
    <t>Exploratorio (EDA)</t>
  </si>
  <si>
    <t>Evaluación de modelos</t>
  </si>
  <si>
    <t>Escritura del informe final</t>
  </si>
  <si>
    <t>Semana Inicio</t>
  </si>
  <si>
    <t>Duración (Semanas)</t>
  </si>
  <si>
    <t>Semana final</t>
  </si>
  <si>
    <t>27 jul - 2 ago</t>
  </si>
  <si>
    <t>3 ago - 9 ago</t>
  </si>
  <si>
    <t>10 ago - 16 ago</t>
  </si>
  <si>
    <t>17 ago - 23 ago</t>
  </si>
  <si>
    <t>24 ago - 30 ago</t>
  </si>
  <si>
    <t>31 ago - 6 sep</t>
  </si>
  <si>
    <t>7 sep - 13 sep</t>
  </si>
  <si>
    <t>14 sep - 20 sep</t>
  </si>
  <si>
    <t>21 sep - 27 sep</t>
  </si>
  <si>
    <t>28 sep - 4 oct</t>
  </si>
  <si>
    <t>5 oct - 11 oct</t>
  </si>
  <si>
    <t>12 oct - 18 oct</t>
  </si>
  <si>
    <t>19 oct - 25 oct</t>
  </si>
  <si>
    <t>26 oct - 1 nov</t>
  </si>
  <si>
    <t>2 nov - 8 nov</t>
  </si>
  <si>
    <t>9 nov - 15 nov</t>
  </si>
  <si>
    <t>Diagrama de Gantt del Seminario de Investigación — Predicción de insolvencia financiera</t>
  </si>
  <si>
    <t>Modelado (regresión logística, etc.)</t>
  </si>
  <si>
    <t>Presentacion Proyecto</t>
  </si>
  <si>
    <t>Entrega final proyecto</t>
  </si>
  <si>
    <t>S17</t>
  </si>
  <si>
    <t>16 nov - 22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</si>
</sst>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m/d;@"/>
    <numFmt numFmtId="170" formatCode="\S0"/>
  </numFmts>
  <fonts count="10">
    <font>
      <sz val="11"/>
      <color theme="1"/>
      <name val="Calibri"/>
      <family val="2"/>
      <charset val="134"/>
      <scheme val="minor"/>
    </font>
    <font>
      <sz val="10"/>
      <color theme="1"/>
      <name val="字魂36号-正文宋楷"/>
      <family val="2"/>
      <charset val="134"/>
    </font>
    <font>
      <sz val="11"/>
      <color theme="1"/>
      <name val="字魂36号-正文宋楷"/>
      <family val="2"/>
      <charset val="134"/>
    </font>
    <font>
      <sz val="8"/>
      <name val="Calibri"/>
      <family val="2"/>
      <charset val="134"/>
      <scheme val="minor"/>
    </font>
    <font>
      <sz val="9"/>
      <color theme="1"/>
      <name val="Cambria"/>
      <family val="1"/>
    </font>
    <font>
      <b/>
      <sz val="16"/>
      <color theme="0"/>
      <name val="Cambria"/>
      <family val="1"/>
    </font>
    <font>
      <b/>
      <sz val="9"/>
      <color theme="0"/>
      <name val="Cambria"/>
      <family val="1"/>
    </font>
    <font>
      <i/>
      <sz val="11"/>
      <color theme="1"/>
      <name val="Cambria"/>
      <family val="1"/>
    </font>
    <font>
      <sz val="10"/>
      <name val="Arial"/>
      <family val="2"/>
    </font>
    <font>
      <i/>
      <sz val="7"/>
      <color rgb="FF5959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2C39A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vertical="center" textRotation="255"/>
    </xf>
    <xf numFmtId="0" fontId="2" fillId="0" borderId="0" xfId="0" applyFont="1" applyAlignment="1">
      <alignment vertical="center"/>
    </xf>
    <xf numFmtId="169" fontId="4" fillId="0" borderId="2" xfId="0" applyNumberFormat="1" applyFont="1" applyBorder="1" applyAlignment="1">
      <alignment horizontal="center" vertical="center" textRotation="255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9" fontId="6" fillId="2" borderId="4" xfId="0" applyNumberFormat="1" applyFont="1" applyFill="1" applyBorder="1" applyAlignment="1">
      <alignment horizontal="center" vertical="center"/>
    </xf>
    <xf numFmtId="169" fontId="6" fillId="2" borderId="4" xfId="0" applyNumberFormat="1" applyFont="1" applyFill="1" applyBorder="1" applyAlignment="1">
      <alignment horizontal="center" vertical="center" textRotation="90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170" fontId="8" fillId="0" borderId="7" xfId="0" applyNumberFormat="1" applyFont="1" applyBorder="1" applyAlignment="1">
      <alignment horizontal="center" vertical="center"/>
    </xf>
    <xf numFmtId="170" fontId="8" fillId="3" borderId="7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169" fontId="6" fillId="2" borderId="4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textRotation="90"/>
    </xf>
    <xf numFmtId="169" fontId="4" fillId="5" borderId="2" xfId="0" applyNumberFormat="1" applyFont="1" applyFill="1" applyBorder="1" applyAlignment="1">
      <alignment horizontal="center" vertical="center" textRotation="255"/>
    </xf>
    <xf numFmtId="169" fontId="6" fillId="6" borderId="4" xfId="0" applyNumberFormat="1" applyFont="1" applyFill="1" applyBorder="1" applyAlignment="1">
      <alignment horizontal="center" vertical="center" textRotation="90"/>
    </xf>
    <xf numFmtId="169" fontId="4" fillId="4" borderId="2" xfId="0" applyNumberFormat="1" applyFont="1" applyFill="1" applyBorder="1" applyAlignment="1">
      <alignment horizontal="center" vertical="center" textRotation="255"/>
    </xf>
    <xf numFmtId="0" fontId="0" fillId="0" borderId="6" xfId="0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8"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mruColors>
      <color rgb="FF02C39A"/>
      <color rgb="FF72D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632114</xdr:colOff>
      <xdr:row>0</xdr:row>
      <xdr:rowOff>106508</xdr:rowOff>
    </xdr:from>
    <xdr:to>
      <xdr:col>0</xdr:col>
      <xdr:colOff>943842</xdr:colOff>
      <xdr:row>0</xdr:row>
      <xdr:rowOff>418236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641E0F0-FC22-4C81-9336-F539D2C46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14" y="106508"/>
          <a:ext cx="311728" cy="311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F807-1A15-4610-B153-B9AC7C4639BD}">
  <dimension ref="A1:AK22"/>
  <sheetViews>
    <sheetView showGridLines="0" tabSelected="1" topLeftCell="A4" zoomScale="110" zoomScaleNormal="110" workbookViewId="0">
      <selection activeCell="V4" sqref="V4"/>
    </sheetView>
  </sheetViews>
  <sheetFormatPr baseColWidth="10" defaultColWidth="12.7109375" defaultRowHeight="25.15" customHeight="1"/>
  <cols>
    <col min="1" max="1" width="21.85546875" style="2" bestFit="1" customWidth="1"/>
    <col min="2" max="2" width="13.140625" style="3" customWidth="1"/>
    <col min="3" max="3" width="13.85546875" style="2" customWidth="1"/>
    <col min="4" max="4" width="9.85546875" style="3" customWidth="1"/>
    <col min="5" max="20" width="5.85546875" style="4" customWidth="1"/>
    <col min="21" max="21" width="6.42578125" style="4" customWidth="1"/>
    <col min="22" max="22" width="3.42578125" style="4" customWidth="1"/>
    <col min="23" max="37" width="3.42578125" style="5" customWidth="1"/>
    <col min="38" max="16384" width="12.7109375" style="5"/>
  </cols>
  <sheetData>
    <row r="1" spans="1:37" ht="40.5" customHeight="1">
      <c r="A1" s="7" t="s">
        <v>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29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spans="1:37" ht="22.5" customHeight="1">
      <c r="A2" s="12" t="s">
        <v>17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28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46.15" customHeight="1">
      <c r="A3" s="9" t="s">
        <v>16</v>
      </c>
      <c r="B3" s="10" t="s">
        <v>27</v>
      </c>
      <c r="C3" s="20" t="s">
        <v>28</v>
      </c>
      <c r="D3" s="21" t="s">
        <v>29</v>
      </c>
      <c r="E3" s="11" t="s">
        <v>0</v>
      </c>
      <c r="F3" s="11" t="s">
        <v>1</v>
      </c>
      <c r="G3" s="11" t="s">
        <v>2</v>
      </c>
      <c r="H3" s="11" t="s">
        <v>3</v>
      </c>
      <c r="I3" s="11" t="s">
        <v>4</v>
      </c>
      <c r="J3" s="11" t="s">
        <v>5</v>
      </c>
      <c r="K3" s="26" t="s">
        <v>6</v>
      </c>
      <c r="L3" s="11" t="s">
        <v>7</v>
      </c>
      <c r="M3" s="11" t="s">
        <v>8</v>
      </c>
      <c r="N3" s="11" t="s">
        <v>9</v>
      </c>
      <c r="O3" s="11" t="s">
        <v>10</v>
      </c>
      <c r="P3" s="11" t="s">
        <v>11</v>
      </c>
      <c r="Q3" s="11" t="s">
        <v>12</v>
      </c>
      <c r="R3" s="11" t="s">
        <v>13</v>
      </c>
      <c r="S3" s="11" t="s">
        <v>14</v>
      </c>
      <c r="T3" s="11" t="s">
        <v>15</v>
      </c>
      <c r="U3" s="11" t="s">
        <v>50</v>
      </c>
      <c r="V3"/>
      <c r="W3"/>
      <c r="X3"/>
      <c r="Y3" s="1"/>
      <c r="Z3"/>
      <c r="AA3"/>
      <c r="AB3"/>
      <c r="AC3"/>
      <c r="AD3"/>
      <c r="AE3"/>
      <c r="AF3"/>
      <c r="AG3"/>
      <c r="AH3"/>
      <c r="AI3"/>
      <c r="AJ3"/>
      <c r="AK3"/>
    </row>
    <row r="4" spans="1:37" s="23" customFormat="1" ht="60">
      <c r="A4"/>
      <c r="B4"/>
      <c r="C4"/>
      <c r="D4"/>
      <c r="E4" s="24" t="s">
        <v>30</v>
      </c>
      <c r="F4" s="24" t="s">
        <v>31</v>
      </c>
      <c r="G4" s="24" t="s">
        <v>32</v>
      </c>
      <c r="H4" s="24" t="s">
        <v>33</v>
      </c>
      <c r="I4" s="24" t="s">
        <v>34</v>
      </c>
      <c r="J4" s="24" t="s">
        <v>35</v>
      </c>
      <c r="K4" s="24" t="s">
        <v>36</v>
      </c>
      <c r="L4" s="24" t="s">
        <v>37</v>
      </c>
      <c r="M4" s="24" t="s">
        <v>38</v>
      </c>
      <c r="N4" s="24" t="s">
        <v>39</v>
      </c>
      <c r="O4" s="24" t="s">
        <v>40</v>
      </c>
      <c r="P4" s="24" t="s">
        <v>41</v>
      </c>
      <c r="Q4" s="24" t="s">
        <v>42</v>
      </c>
      <c r="R4" s="24" t="s">
        <v>43</v>
      </c>
      <c r="S4" s="24" t="s">
        <v>44</v>
      </c>
      <c r="T4" s="24" t="s">
        <v>45</v>
      </c>
      <c r="U4" s="24" t="s">
        <v>51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</row>
    <row r="5" spans="1:37" ht="24.75" customHeight="1">
      <c r="A5" s="14" t="s">
        <v>18</v>
      </c>
      <c r="B5" s="16">
        <v>1</v>
      </c>
      <c r="C5" s="18">
        <v>6</v>
      </c>
      <c r="D5" s="16">
        <f>B5+C5-1</f>
        <v>6</v>
      </c>
      <c r="E5" s="25"/>
      <c r="F5" s="25"/>
      <c r="G5" s="25"/>
      <c r="H5" s="25"/>
      <c r="I5" s="2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</row>
    <row r="6" spans="1:37" ht="25.15" customHeight="1">
      <c r="A6" s="15" t="s">
        <v>19</v>
      </c>
      <c r="B6" s="17">
        <v>2</v>
      </c>
      <c r="C6" s="19">
        <v>2</v>
      </c>
      <c r="D6" s="16">
        <f t="shared" ref="D6:D16" si="0">B6+C6-1</f>
        <v>3</v>
      </c>
      <c r="E6" s="6"/>
      <c r="F6" s="25"/>
      <c r="G6" s="2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 spans="1:37" ht="25.15" customHeight="1">
      <c r="A7" s="14" t="s">
        <v>20</v>
      </c>
      <c r="B7" s="16">
        <v>3</v>
      </c>
      <c r="C7" s="18">
        <v>3</v>
      </c>
      <c r="D7" s="16">
        <f t="shared" si="0"/>
        <v>5</v>
      </c>
      <c r="E7" s="6"/>
      <c r="F7" s="6"/>
      <c r="G7" s="25"/>
      <c r="H7" s="25"/>
      <c r="I7" s="2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 spans="1:37" ht="25.15" customHeight="1">
      <c r="A8" s="15" t="s">
        <v>21</v>
      </c>
      <c r="B8" s="17">
        <v>5</v>
      </c>
      <c r="C8" s="19">
        <v>2</v>
      </c>
      <c r="D8" s="16">
        <f t="shared" si="0"/>
        <v>6</v>
      </c>
      <c r="E8" s="6"/>
      <c r="F8" s="6"/>
      <c r="G8" s="6"/>
      <c r="H8" s="6"/>
      <c r="I8" s="25"/>
      <c r="J8" s="2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 spans="1:37" ht="25.5">
      <c r="A9" s="14" t="s">
        <v>22</v>
      </c>
      <c r="B9" s="16">
        <v>5</v>
      </c>
      <c r="C9" s="18">
        <v>2</v>
      </c>
      <c r="D9" s="16">
        <f t="shared" si="0"/>
        <v>6</v>
      </c>
      <c r="E9" s="6"/>
      <c r="F9" s="6"/>
      <c r="G9" s="6"/>
      <c r="H9" s="6"/>
      <c r="I9" s="25"/>
      <c r="J9" s="2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 spans="1:37" ht="25.5">
      <c r="A10" s="15" t="s">
        <v>23</v>
      </c>
      <c r="B10" s="17">
        <v>6</v>
      </c>
      <c r="C10" s="19">
        <v>2</v>
      </c>
      <c r="D10" s="16">
        <f t="shared" si="0"/>
        <v>7</v>
      </c>
      <c r="E10" s="6"/>
      <c r="F10" s="6"/>
      <c r="G10" s="6"/>
      <c r="H10" s="6"/>
      <c r="I10" s="6"/>
      <c r="J10" s="2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25.15" customHeight="1">
      <c r="A11" s="14" t="s">
        <v>24</v>
      </c>
      <c r="B11" s="16">
        <v>6</v>
      </c>
      <c r="C11" s="18">
        <v>3</v>
      </c>
      <c r="D11" s="16">
        <f t="shared" si="0"/>
        <v>8</v>
      </c>
      <c r="E11" s="6"/>
      <c r="F11" s="6"/>
      <c r="G11" s="6"/>
      <c r="H11" s="6"/>
      <c r="I11" s="6"/>
      <c r="J11" s="25"/>
      <c r="K11" s="25"/>
      <c r="L11" s="25"/>
      <c r="M11" s="6"/>
      <c r="N11" s="6"/>
      <c r="O11" s="6"/>
      <c r="P11" s="6"/>
      <c r="Q11" s="6"/>
      <c r="R11" s="6"/>
      <c r="S11" s="6"/>
      <c r="T11" s="6"/>
      <c r="U11" s="6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 spans="1:37" ht="25.15" customHeight="1">
      <c r="A12" s="15" t="s">
        <v>47</v>
      </c>
      <c r="B12" s="17">
        <v>14</v>
      </c>
      <c r="C12" s="19">
        <v>3</v>
      </c>
      <c r="D12" s="16">
        <f t="shared" si="0"/>
        <v>16</v>
      </c>
      <c r="E12" s="6"/>
      <c r="F12" s="6"/>
      <c r="G12" s="6"/>
      <c r="H12" s="6"/>
      <c r="I12" s="6"/>
      <c r="J12" s="6"/>
      <c r="K12" s="6"/>
      <c r="L12" s="6"/>
      <c r="M12" s="25"/>
      <c r="N12" s="25"/>
      <c r="O12" s="25"/>
      <c r="P12" s="27"/>
      <c r="Q12" s="6"/>
      <c r="R12" s="6"/>
      <c r="S12" s="6"/>
      <c r="T12" s="6"/>
      <c r="U12" s="6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 spans="1:37" ht="25.15" customHeight="1">
      <c r="A13" s="14" t="s">
        <v>25</v>
      </c>
      <c r="B13" s="16">
        <v>15</v>
      </c>
      <c r="C13" s="18">
        <v>3</v>
      </c>
      <c r="D13" s="16">
        <f t="shared" si="0"/>
        <v>17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25"/>
      <c r="P13" s="25"/>
      <c r="Q13" s="25"/>
      <c r="R13" s="6"/>
      <c r="S13" s="6"/>
      <c r="T13" s="6"/>
      <c r="U13" s="6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 spans="1:37" ht="25.15" customHeight="1">
      <c r="A14" s="15" t="s">
        <v>26</v>
      </c>
      <c r="B14" s="17">
        <v>14</v>
      </c>
      <c r="C14" s="19">
        <v>2</v>
      </c>
      <c r="D14" s="16">
        <f t="shared" si="0"/>
        <v>15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25"/>
      <c r="Q14" s="25"/>
      <c r="R14" s="25"/>
      <c r="S14" s="25"/>
      <c r="T14" s="6"/>
      <c r="U14" s="6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 spans="1:37" ht="26.25" customHeight="1">
      <c r="A15" s="14" t="s">
        <v>49</v>
      </c>
      <c r="B15" s="16">
        <v>16</v>
      </c>
      <c r="C15" s="18">
        <v>1</v>
      </c>
      <c r="D15" s="16">
        <f t="shared" si="0"/>
        <v>16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7"/>
      <c r="T15" s="25"/>
      <c r="U15" s="27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 spans="1:37" ht="25.5" customHeight="1">
      <c r="A16" s="15" t="s">
        <v>48</v>
      </c>
      <c r="B16" s="17">
        <v>17</v>
      </c>
      <c r="C16" s="19">
        <v>1</v>
      </c>
      <c r="D16" s="16">
        <f t="shared" si="0"/>
        <v>17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27"/>
      <c r="Q16" s="27"/>
      <c r="R16" s="27"/>
      <c r="S16" s="27"/>
      <c r="T16" s="27"/>
      <c r="U16" s="25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 spans="1:37" ht="21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 spans="1:37" ht="21.7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 spans="1:37" ht="21.7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 spans="1:37" ht="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 spans="1:37" ht="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25.1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</sheetData>
  <mergeCells count="2">
    <mergeCell ref="A1:T1"/>
    <mergeCell ref="A2:T2"/>
  </mergeCells>
  <phoneticPr fontId="3" type="noConversion"/>
  <conditionalFormatting sqref="E5:T14">
    <cfRule type="expression" dxfId="7" priority="7">
      <formula>AND(E$3&gt;=$B5,E$3&lt;=$D5)</formula>
    </cfRule>
  </conditionalFormatting>
  <conditionalFormatting sqref="E15:T15">
    <cfRule type="expression" dxfId="6" priority="6">
      <formula>AND(E$3&gt;=$B15,E$3&lt;=$D15)</formula>
    </cfRule>
  </conditionalFormatting>
  <conditionalFormatting sqref="E16:T16">
    <cfRule type="expression" dxfId="3" priority="4">
      <formula>AND(E$3&gt;=$B16,E$3&lt;=$D16)</formula>
    </cfRule>
  </conditionalFormatting>
  <conditionalFormatting sqref="U5:U14">
    <cfRule type="expression" dxfId="2" priority="3">
      <formula>AND(U$3&gt;=$B5,U$3&lt;=$D5)</formula>
    </cfRule>
  </conditionalFormatting>
  <conditionalFormatting sqref="U15">
    <cfRule type="expression" dxfId="1" priority="2">
      <formula>AND(U$3&gt;=$B15,U$3&lt;=$D15)</formula>
    </cfRule>
  </conditionalFormatting>
  <conditionalFormatting sqref="U16">
    <cfRule type="expression" dxfId="0" priority="1">
      <formula>AND(U$3&gt;=$B16,U$3&lt;=$D16)</formula>
    </cfRule>
  </conditionalFormatting>
  <pageMargins left="0.7" right="0.7" top="0.75" bottom="0.75" header="0.3" footer="0.3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Sheet_1</vt:lpstr>
      <vt:lpstr>Sheet_1!Área_de_impresión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WIN10</dc:creator>
  <cp:keywords/>
  <dc:description/>
  <cp:lastModifiedBy>LUIS ANTONIO CANTILLO VERGARA</cp:lastModifiedBy>
  <cp:lastPrinted>2019-04-19T08:15:00Z</cp:lastPrinted>
  <dcterms:created xsi:type="dcterms:W3CDTF">2019-04-19T07:04:00Z</dcterms:created>
  <dcterms:modified xsi:type="dcterms:W3CDTF">2026-09-09T03:17:07Z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